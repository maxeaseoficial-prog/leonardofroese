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</sheets>
  <definedNames>
    <definedName function="false" hidden="false" localSheetId="0" name="_xlnm.Print_Area" vbProcedure="false">Painel!$A$1:$J$39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<sst xmlns="http://schemas.openxmlformats.org/spreadsheetml/2006/main" count="57" uniqueCount="57">
  <si>
    <t xml:space="preserve">PAINEL SEMANAL DO DINHEIRO</t>
  </si>
  <si>
    <t xml:space="preserve">5 números, 5 minutos por semana. Veja para onde o dinheiro da sua empresa está indo.</t>
  </si>
  <si>
    <t xml:space="preserve">COMO USAR EM 3 PASSOS</t>
  </si>
  <si>
    <t xml:space="preserve">1. Defina a meta</t>
  </si>
  <si>
    <t xml:space="preserve">Na coluna Meta, escreva quanto você quer atingir em cada número. Faça uma vez e revise a cada 4 semanas.</t>
  </si>
  <si>
    <t xml:space="preserve">2. Lance os números</t>
  </si>
  <si>
    <t xml:space="preserve">No fim de cada semana, preencha a coluna da semana. Valores em reais: digite só o número. Percentual: digite com o símbolo, por exemplo 3%.</t>
  </si>
  <si>
    <t xml:space="preserve">3. Escolha 1 prioridade</t>
  </si>
  <si>
    <t xml:space="preserve">Olhe o semáforo, defina uma ação e um dono. O que não tem dono vira intenção.</t>
  </si>
  <si>
    <t xml:space="preserve">Você preenche</t>
  </si>
  <si>
    <t xml:space="preserve">Células em amarelo claro são as únicas que precisam ser preenchidas. As brancas calculam sozinhas e ficam protegidas.</t>
  </si>
  <si>
    <t xml:space="preserve">OK</t>
  </si>
  <si>
    <t xml:space="preserve">Meta atingida ou superada.</t>
  </si>
  <si>
    <t xml:space="preserve">ATENÇÃO</t>
  </si>
  <si>
    <t xml:space="preserve">Abaixo da meta, dentro da tolerância ao lado (valor fixo de 10%, definido por padrão).</t>
  </si>
  <si>
    <t xml:space="preserve">Tolerância</t>
  </si>
  <si>
    <t xml:space="preserve">CRÍTICO</t>
  </si>
  <si>
    <t xml:space="preserve">Abaixo da meta além da tolerância. A prioridade da semana nasce aqui.</t>
  </si>
  <si>
    <t xml:space="preserve">INDICADOR</t>
  </si>
  <si>
    <t xml:space="preserve">O QUE ELE RESPONDE</t>
  </si>
  <si>
    <t xml:space="preserve">META</t>
  </si>
  <si>
    <t xml:space="preserve">SEMANA 1</t>
  </si>
  <si>
    <t xml:space="preserve">SEMANA 2</t>
  </si>
  <si>
    <t xml:space="preserve">SEMANA 3</t>
  </si>
  <si>
    <t xml:space="preserve">SEMANA 4</t>
  </si>
  <si>
    <t xml:space="preserve">ÚLTIMO LANÇADO</t>
  </si>
  <si>
    <t xml:space="preserve">ATINGIMENTO</t>
  </si>
  <si>
    <t xml:space="preserve">STATUS</t>
  </si>
  <si>
    <t xml:space="preserve">Faturamento semanal (R$)</t>
  </si>
  <si>
    <t xml:space="preserve">Quanto a empresa vendeu na semana?</t>
  </si>
  <si>
    <t xml:space="preserve">Lucro operacional (R$)</t>
  </si>
  <si>
    <t xml:space="preserve">A operação está gerando resultado de verdade?</t>
  </si>
  <si>
    <t xml:space="preserve">Saldo de caixa (R$)</t>
  </si>
  <si>
    <t xml:space="preserve">Quanto dinheiro disponível existe hoje?</t>
  </si>
  <si>
    <t xml:space="preserve">Contas a receber (R$)</t>
  </si>
  <si>
    <t xml:space="preserve">Quanto ainda deve entrar no caixa?</t>
  </si>
  <si>
    <t xml:space="preserve">Inadimplência (%)</t>
  </si>
  <si>
    <t xml:space="preserve">Quanto do valor a receber está atrasado? Aqui, menor é melhor.</t>
  </si>
  <si>
    <t xml:space="preserve">LEITURA RÁPIDA DA SEMANA</t>
  </si>
  <si>
    <t xml:space="preserve">Indicadores OK</t>
  </si>
  <si>
    <t xml:space="preserve">Em atenção</t>
  </si>
  <si>
    <t xml:space="preserve">Críticos</t>
  </si>
  <si>
    <t xml:space="preserve">Indicador mais crítico</t>
  </si>
  <si>
    <t xml:space="preserve">Prioridade da semana</t>
  </si>
  <si>
    <t xml:space="preserve">Ação principal</t>
  </si>
  <si>
    <t xml:space="preserve">Dono</t>
  </si>
  <si>
    <t xml:space="preserve">EXEMPLO DE PREENCHIMENTO (apenas para referência, não preencher)</t>
  </si>
  <si>
    <t xml:space="preserve">Faturamento semanal (exemplo)</t>
  </si>
  <si>
    <t xml:space="preserve">Meta de R$ 80.000, três semanas lançadas</t>
  </si>
  <si>
    <t xml:space="preserve">PRÓXIMO PASSO</t>
  </si>
  <si>
    <t xml:space="preserve">Este painel mostra para onde o dinheiro está indo. Falta descobrir qual é o gargalo de lucro da sua empresa.</t>
  </si>
  <si>
    <t xml:space="preserve">Faça o Raio-X empresarial gratuito: 12 perguntas, cerca de 2 minutos.</t>
  </si>
  <si>
    <t xml:space="preserve">leonardofroese.com.br</t>
  </si>
  <si>
    <t xml:space="preserve">Se algum número ficou sem preencher porque a informação não existe ou não é confiável, o Raio-X mostra por onde começar.</t>
  </si>
  <si>
    <t xml:space="preserve">+450 empresas com gestão implantada em 10 estados   |   +R$ 100 milhões de lucro gerado para clientes   |   17 anos estruturando e assumindo a gestão de empresas</t>
  </si>
  <si>
    <t xml:space="preserve">Validado no caixa, não na teoria.</t>
  </si>
  <si>
    <t xml:space="preserve">Material de apoio Leonardo Froese   |   Cáliber Controladoria Empresarial   |   @leonardofroese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</si>
</sst>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&quot;R$ &quot;#,##0;[RED]&quot;-R$ &quot;#,##0;&quot;R$ &quot;0"/>
    <numFmt numFmtId="167" formatCode="0.0%"/>
    <numFmt numFmtId="168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Calibri"/>
      <family val="0"/>
      <charset val="1"/>
    </font>
    <font>
      <i val="true"/>
      <sz val="12"/>
      <color rgb="FF0B1F3A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0B1F3A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rgb="FF595959"/>
      <name val="Calibri"/>
      <family val="0"/>
      <charset val="1"/>
    </font>
    <font>
      <b val="true"/>
      <sz val="11"/>
      <color rgb="FF006100"/>
      <name val="Calibri"/>
      <family val="0"/>
      <charset val="1"/>
    </font>
    <font>
      <b val="true"/>
      <sz val="11"/>
      <color rgb="FF9C5700"/>
      <name val="Calibri"/>
      <family val="0"/>
      <charset val="1"/>
    </font>
    <font>
      <i val="true"/>
      <sz val="9"/>
      <color rgb="FF7F7F7F"/>
      <name val="Calibri"/>
      <family val="0"/>
      <charset val="1"/>
    </font>
    <font>
      <b val="true"/>
      <sz val="11"/>
      <color rgb="FF9C0006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B1F3A"/>
      <name val="Calibri"/>
      <family val="0"/>
      <charset val="1"/>
    </font>
    <font>
      <b val="true"/>
      <sz val="18"/>
      <color rgb="FF006100"/>
      <name val="Calibri"/>
      <family val="0"/>
      <charset val="1"/>
    </font>
    <font>
      <b val="true"/>
      <sz val="18"/>
      <color rgb="FF9C5700"/>
      <name val="Calibri"/>
      <family val="0"/>
      <charset val="1"/>
    </font>
    <font>
      <b val="true"/>
      <sz val="18"/>
      <color rgb="FF9C0006"/>
      <name val="Calibri"/>
      <family val="0"/>
      <charset val="1"/>
    </font>
    <font>
      <b val="true"/>
      <sz val="10"/>
      <color rgb="FF7F7F7F"/>
      <name val="Calibri"/>
      <family val="0"/>
      <charset val="1"/>
    </font>
    <font>
      <b val="true"/>
      <sz val="11"/>
      <color rgb="FF7F7F7F"/>
      <name val="Calibri"/>
      <family val="0"/>
      <charset val="1"/>
    </font>
    <font>
      <sz val="11"/>
      <color rgb="FF7F7F7F"/>
      <name val="Calibri"/>
      <family val="0"/>
      <charset val="1"/>
    </font>
    <font>
      <b val="true"/>
      <sz val="12"/>
      <color rgb="FF1F4E9E"/>
      <name val="Calibri"/>
      <family val="0"/>
      <charset val="1"/>
    </font>
    <font>
      <b val="true"/>
      <i val="true"/>
      <sz val="11"/>
      <color rgb="FFC9A227"/>
      <name val="Calibri"/>
      <family val="0"/>
      <charset val="1"/>
    </font>
    <font>
      <sz val="9"/>
      <color rgb="FF7F7F7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C9A227"/>
        <bgColor rgb="FF99CC00"/>
      </patternFill>
    </fill>
    <fill>
      <patternFill patternType="solid">
        <fgColor rgb="FFFFF9DB"/>
        <bgColor rgb="FFF2F2F2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9DB"/>
      </patternFill>
    </fill>
    <fill>
      <patternFill patternType="solid">
        <fgColor rgb="FFFFC7CE"/>
        <bgColor rgb="FFD9D9D9"/>
      </patternFill>
    </fill>
    <fill>
      <patternFill patternType="solid">
        <fgColor rgb="FFF2F2F2"/>
        <bgColor rgb="FFFFF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4" fontId="20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Calibri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Calibri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Calibri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9DB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C9A227"/>
      <rgbColor rgb="FFFF6600"/>
      <rgbColor rgb="FF595959"/>
      <rgbColor rgb="FF969696"/>
      <rgbColor rgb="FF0B1F3A"/>
      <rgbColor rgb="FF339966"/>
      <rgbColor rgb="FF003300"/>
      <rgbColor rgb="FF333300"/>
      <rgbColor rgb="FF9C5700"/>
      <rgbColor rgb="FF993366"/>
      <rgbColor rgb="FF1F4E9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eonardofroese.com.br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15"/>
    <col collapsed="false" customWidth="true" hidden="false" outlineLevel="0" max="7" min="4" style="0" width="14"/>
    <col collapsed="false" customWidth="true" hidden="false" outlineLevel="0" max="8" min="8" style="0" width="15"/>
    <col collapsed="false" customWidth="true" hidden="false" outlineLevel="0" max="10" min="9" style="0" width="14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31.5" hidden="false" customHeight="true" outlineLevel="0" collapsed="false">
      <c r="A5" s="5" t="s">
        <v>3</v>
      </c>
      <c r="B5" s="6" t="s">
        <v>4</v>
      </c>
      <c r="C5" s="6"/>
      <c r="D5" s="6"/>
      <c r="E5" s="6"/>
      <c r="F5" s="6"/>
      <c r="G5" s="6"/>
      <c r="H5" s="6"/>
      <c r="I5" s="6"/>
      <c r="J5" s="6"/>
    </row>
    <row r="6" customFormat="false" ht="33.75" hidden="false" customHeight="true" outlineLevel="0" collapsed="false">
      <c r="A6" s="5" t="s">
        <v>5</v>
      </c>
      <c r="B6" s="6" t="s">
        <v>6</v>
      </c>
      <c r="C6" s="6"/>
      <c r="D6" s="6"/>
      <c r="E6" s="6"/>
      <c r="F6" s="6"/>
      <c r="G6" s="6"/>
      <c r="H6" s="6"/>
      <c r="I6" s="6"/>
      <c r="J6" s="6"/>
    </row>
    <row r="7" customFormat="false" ht="31.5" hidden="false" customHeight="true" outlineLevel="0" collapsed="false">
      <c r="A7" s="5" t="s">
        <v>7</v>
      </c>
      <c r="B7" s="6" t="s">
        <v>8</v>
      </c>
      <c r="C7" s="6"/>
      <c r="D7" s="6"/>
      <c r="E7" s="6"/>
      <c r="F7" s="6"/>
      <c r="G7" s="6"/>
      <c r="H7" s="6"/>
      <c r="I7" s="6"/>
      <c r="J7" s="6"/>
    </row>
    <row r="8" customFormat="false" ht="24" hidden="false" customHeight="true" outlineLevel="0" collapsed="false">
      <c r="A8" s="7" t="s">
        <v>9</v>
      </c>
      <c r="B8" s="8" t="s">
        <v>10</v>
      </c>
      <c r="C8" s="8"/>
      <c r="D8" s="8"/>
      <c r="E8" s="8"/>
      <c r="F8" s="8"/>
      <c r="G8" s="8"/>
      <c r="H8" s="8"/>
      <c r="I8" s="8"/>
      <c r="J8" s="8"/>
    </row>
    <row r="9" customFormat="false" ht="21.75" hidden="false" customHeight="true" outlineLevel="0" collapsed="false">
      <c r="A9" s="9" t="s">
        <v>11</v>
      </c>
      <c r="B9" s="8" t="s">
        <v>12</v>
      </c>
      <c r="C9" s="8"/>
      <c r="D9" s="8"/>
      <c r="E9" s="8"/>
      <c r="F9" s="8"/>
      <c r="G9" s="8"/>
      <c r="H9" s="8"/>
      <c r="I9" s="8"/>
      <c r="J9" s="8"/>
    </row>
    <row r="10" customFormat="false" ht="30" hidden="false" customHeight="true" outlineLevel="0" collapsed="false">
      <c r="A10" s="10" t="s">
        <v>13</v>
      </c>
      <c r="B10" s="11" t="s">
        <v>14</v>
      </c>
      <c r="C10" s="12" t="n">
        <v>0.1</v>
      </c>
      <c r="D10" s="13" t="s">
        <v>15</v>
      </c>
    </row>
    <row r="11" customFormat="false" ht="21.75" hidden="false" customHeight="true" outlineLevel="0" collapsed="false">
      <c r="A11" s="14" t="s">
        <v>16</v>
      </c>
      <c r="B11" s="8" t="s">
        <v>17</v>
      </c>
      <c r="C11" s="8"/>
      <c r="D11" s="8"/>
      <c r="E11" s="8"/>
      <c r="F11" s="8"/>
      <c r="G11" s="8"/>
      <c r="H11" s="8"/>
      <c r="I11" s="8"/>
      <c r="J11" s="8"/>
    </row>
    <row r="13" customFormat="false" ht="30" hidden="false" customHeight="true" outlineLevel="0" collapsed="false">
      <c r="A13" s="15" t="s">
        <v>18</v>
      </c>
      <c r="B13" s="15" t="s">
        <v>19</v>
      </c>
      <c r="C13" s="15" t="s">
        <v>20</v>
      </c>
      <c r="D13" s="15" t="s">
        <v>21</v>
      </c>
      <c r="E13" s="15" t="s">
        <v>22</v>
      </c>
      <c r="F13" s="15" t="s">
        <v>23</v>
      </c>
      <c r="G13" s="15" t="s">
        <v>24</v>
      </c>
      <c r="H13" s="15" t="s">
        <v>25</v>
      </c>
      <c r="I13" s="15" t="s">
        <v>26</v>
      </c>
      <c r="J13" s="15" t="s">
        <v>27</v>
      </c>
    </row>
    <row r="14" customFormat="false" ht="33.75" hidden="false" customHeight="true" outlineLevel="0" collapsed="false">
      <c r="A14" s="16" t="s">
        <v>28</v>
      </c>
      <c r="B14" s="17" t="s">
        <v>29</v>
      </c>
      <c r="C14" s="18"/>
      <c r="D14" s="18"/>
      <c r="E14" s="18"/>
      <c r="F14" s="18"/>
      <c r="G14" s="18"/>
      <c r="H14" s="19" t="str">
        <f aca="false">IF(COUNT(D14:G14)=0,"",INDEX(D14:G14,SUMPRODUCT(MAX((D14:G14&lt;&gt;"")*(COLUMN(D14:G14)-COLUMN(D14)+1)))))</f>
        <v/>
      </c>
      <c r="I14" s="20" t="str">
        <f aca="false">IF(OR(H14="",C14="",C14=0),"",H14/C14)</f>
        <v/>
      </c>
      <c r="J14" s="21" t="str">
        <f aca="false">IF(OR(H14="",C14=""),"",IF(H14&gt;=C14,"OK",IF(H14&gt;=C14*(1-$C$10),"ATENÇÃO","CRÍTICO")))</f>
        <v/>
      </c>
    </row>
    <row r="15" customFormat="false" ht="33.75" hidden="false" customHeight="true" outlineLevel="0" collapsed="false">
      <c r="A15" s="16" t="s">
        <v>30</v>
      </c>
      <c r="B15" s="17" t="s">
        <v>31</v>
      </c>
      <c r="C15" s="18"/>
      <c r="D15" s="18"/>
      <c r="E15" s="18"/>
      <c r="F15" s="18"/>
      <c r="G15" s="18"/>
      <c r="H15" s="19" t="str">
        <f aca="false">IF(COUNT(D15:G15)=0,"",INDEX(D15:G15,SUMPRODUCT(MAX((D15:G15&lt;&gt;"")*(COLUMN(D15:G15)-COLUMN(D15)+1)))))</f>
        <v/>
      </c>
      <c r="I15" s="20" t="str">
        <f aca="false">IF(OR(H15="",C15="",C15=0),"",H15/C15)</f>
        <v/>
      </c>
      <c r="J15" s="21" t="str">
        <f aca="false">IF(OR(H15="",C15=""),"",IF(H15&gt;=C15,"OK",IF(H15&gt;=C15*(1-$C$10),"ATENÇÃO","CRÍTICO")))</f>
        <v/>
      </c>
    </row>
    <row r="16" customFormat="false" ht="33.75" hidden="false" customHeight="true" outlineLevel="0" collapsed="false">
      <c r="A16" s="16" t="s">
        <v>32</v>
      </c>
      <c r="B16" s="17" t="s">
        <v>33</v>
      </c>
      <c r="C16" s="18"/>
      <c r="D16" s="18"/>
      <c r="E16" s="18"/>
      <c r="F16" s="18"/>
      <c r="G16" s="18"/>
      <c r="H16" s="19" t="str">
        <f aca="false">IF(COUNT(D16:G16)=0,"",INDEX(D16:G16,SUMPRODUCT(MAX((D16:G16&lt;&gt;"")*(COLUMN(D16:G16)-COLUMN(D16)+1)))))</f>
        <v/>
      </c>
      <c r="I16" s="20" t="str">
        <f aca="false">IF(OR(H16="",C16="",C16=0),"",H16/C16)</f>
        <v/>
      </c>
      <c r="J16" s="21" t="str">
        <f aca="false">IF(OR(H16="",C16=""),"",IF(H16&gt;=C16,"OK",IF(H16&gt;=C16*(1-$C$10),"ATENÇÃO","CRÍTICO")))</f>
        <v/>
      </c>
    </row>
    <row r="17" customFormat="false" ht="33.75" hidden="false" customHeight="true" outlineLevel="0" collapsed="false">
      <c r="A17" s="16" t="s">
        <v>34</v>
      </c>
      <c r="B17" s="17" t="s">
        <v>35</v>
      </c>
      <c r="C17" s="18"/>
      <c r="D17" s="18"/>
      <c r="E17" s="18"/>
      <c r="F17" s="18"/>
      <c r="G17" s="18"/>
      <c r="H17" s="19" t="str">
        <f aca="false">IF(COUNT(D17:G17)=0,"",INDEX(D17:G17,SUMPRODUCT(MAX((D17:G17&lt;&gt;"")*(COLUMN(D17:G17)-COLUMN(D17)+1)))))</f>
        <v/>
      </c>
      <c r="I17" s="20" t="str">
        <f aca="false">IF(OR(H17="",C17="",C17=0),"",H17/C17)</f>
        <v/>
      </c>
      <c r="J17" s="21" t="str">
        <f aca="false">IF(OR(H17="",C17=""),"",IF(H17&gt;=C17,"OK",IF(H17&gt;=C17*(1-$C$10),"ATENÇÃO","CRÍTICO")))</f>
        <v/>
      </c>
    </row>
    <row r="18" customFormat="false" ht="33.75" hidden="false" customHeight="true" outlineLevel="0" collapsed="false">
      <c r="A18" s="16" t="s">
        <v>36</v>
      </c>
      <c r="B18" s="17" t="s">
        <v>37</v>
      </c>
      <c r="C18" s="22"/>
      <c r="D18" s="22"/>
      <c r="E18" s="22"/>
      <c r="F18" s="22"/>
      <c r="G18" s="22"/>
      <c r="H18" s="23" t="str">
        <f aca="false">IF(COUNT(D18:G18)=0,"",INDEX(D18:G18,SUMPRODUCT(MAX((D18:G18&lt;&gt;"")*(COLUMN(D18:G18)-COLUMN(D18)+1)))))</f>
        <v/>
      </c>
      <c r="I18" s="20" t="str">
        <f aca="false">IF(OR(H18="",C18=""),"",IF(H18&lt;=C18,1,C18/H18))</f>
        <v/>
      </c>
      <c r="J18" s="21" t="str">
        <f aca="false">IF(OR(H18="",C18=""),"",IF(H18&lt;=C18,"OK",IF(H18&lt;=C18*(1+$C$10),"ATENÇÃO","CRÍTICO")))</f>
        <v/>
      </c>
    </row>
    <row r="20" customFormat="false" ht="21.75" hidden="false" customHeight="true" outlineLevel="0" collapsed="false">
      <c r="A20" s="4" t="s">
        <v>38</v>
      </c>
      <c r="B20" s="4"/>
      <c r="C20" s="4"/>
      <c r="D20" s="4"/>
      <c r="E20" s="4"/>
      <c r="F20" s="4"/>
      <c r="G20" s="4"/>
      <c r="H20" s="4"/>
      <c r="I20" s="4"/>
      <c r="J20" s="4"/>
    </row>
    <row r="21" customFormat="false" ht="15" hidden="false" customHeight="false" outlineLevel="0" collapsed="false">
      <c r="A21" s="24" t="s">
        <v>39</v>
      </c>
      <c r="B21" s="24" t="s">
        <v>40</v>
      </c>
      <c r="C21" s="24" t="s">
        <v>41</v>
      </c>
    </row>
    <row r="22" customFormat="false" ht="30" hidden="false" customHeight="true" outlineLevel="0" collapsed="false">
      <c r="A22" s="25" t="n">
        <f aca="false">COUNTIF(J14:J18,"OK")</f>
        <v>0</v>
      </c>
      <c r="B22" s="26" t="n">
        <f aca="false">COUNTIF(J14:J18,"ATENÇÃO")</f>
        <v>0</v>
      </c>
      <c r="C22" s="27" t="n">
        <f aca="false">COUNTIF(J14:J18,"CRÍTICO")</f>
        <v>0</v>
      </c>
    </row>
    <row r="23" customFormat="false" ht="24" hidden="false" customHeight="true" outlineLevel="0" collapsed="false">
      <c r="A23" s="28" t="s">
        <v>42</v>
      </c>
      <c r="B23" s="29" t="str">
        <f aca="false">IF(SUMPRODUCT(--(LEN(J14:J18)&gt;0))=0,"Lance os números para ver a leitura",IF(COUNTIF(J14:J18,"OK")=SUMPRODUCT(--(LEN(J14:J18)&gt;0)),"Nenhum, todos dentro da meta",INDEX(A14:A18,MATCH(MIN(I14:I18),I14:I18,0))))</f>
        <v>Lance os números para ver a leitura</v>
      </c>
      <c r="C23" s="29"/>
      <c r="D23" s="29"/>
      <c r="E23" s="29"/>
      <c r="F23" s="29"/>
      <c r="G23" s="29"/>
    </row>
    <row r="24" customFormat="false" ht="24" hidden="false" customHeight="true" outlineLevel="0" collapsed="false">
      <c r="A24" s="5" t="s">
        <v>43</v>
      </c>
      <c r="B24" s="30"/>
      <c r="C24" s="30"/>
      <c r="D24" s="30"/>
      <c r="E24" s="30"/>
      <c r="F24" s="30"/>
      <c r="G24" s="30"/>
    </row>
    <row r="25" customFormat="false" ht="24" hidden="false" customHeight="true" outlineLevel="0" collapsed="false">
      <c r="A25" s="5" t="s">
        <v>44</v>
      </c>
      <c r="B25" s="30"/>
      <c r="C25" s="30"/>
      <c r="D25" s="30"/>
      <c r="E25" s="30"/>
      <c r="F25" s="30"/>
      <c r="G25" s="30"/>
    </row>
    <row r="26" customFormat="false" ht="24" hidden="false" customHeight="true" outlineLevel="0" collapsed="false">
      <c r="A26" s="5" t="s">
        <v>45</v>
      </c>
      <c r="B26" s="30"/>
      <c r="C26" s="30"/>
      <c r="D26" s="30"/>
      <c r="E26" s="30"/>
      <c r="F26" s="30"/>
      <c r="G26" s="30"/>
    </row>
    <row r="28" customFormat="false" ht="15" hidden="false" customHeight="false" outlineLevel="0" collapsed="false">
      <c r="A28" s="31" t="s">
        <v>46</v>
      </c>
      <c r="B28" s="31"/>
      <c r="C28" s="31"/>
      <c r="D28" s="31"/>
      <c r="E28" s="31"/>
      <c r="F28" s="31"/>
      <c r="G28" s="31"/>
      <c r="H28" s="31"/>
      <c r="I28" s="31"/>
      <c r="J28" s="31"/>
    </row>
    <row r="29" customFormat="false" ht="33.75" hidden="false" customHeight="true" outlineLevel="0" collapsed="false">
      <c r="A29" s="32" t="s">
        <v>47</v>
      </c>
      <c r="B29" s="33" t="s">
        <v>48</v>
      </c>
      <c r="C29" s="34" t="n">
        <v>80000</v>
      </c>
      <c r="D29" s="34" t="n">
        <v>72500</v>
      </c>
      <c r="E29" s="34" t="n">
        <v>78000</v>
      </c>
      <c r="F29" s="34" t="n">
        <v>76000</v>
      </c>
      <c r="G29" s="34"/>
      <c r="H29" s="35" t="n">
        <f aca="false">IF(COUNT(D29:G29)=0,"",INDEX(D29:G29,SUMPRODUCT(MAX((D29:G29&lt;&gt;"")*(COLUMN(D29:G29)-COLUMN(D29)+1)))))</f>
        <v>76000</v>
      </c>
      <c r="I29" s="36" t="n">
        <f aca="false">IF(OR(H29="",C29="",C29=0),"",H29/C29)</f>
        <v>0.95</v>
      </c>
      <c r="J29" s="37" t="str">
        <f aca="false">IF(OR(H29="",C29=""),"",IF(H29&gt;=C29,"OK",IF(H29&gt;=C29*(1-$C$10),"ATENÇÃO","CRÍTICO")))</f>
        <v>ATENÇÃO</v>
      </c>
    </row>
    <row r="31" customFormat="false" ht="21.75" hidden="false" customHeight="true" outlineLevel="0" collapsed="false">
      <c r="A31" s="4" t="s">
        <v>49</v>
      </c>
      <c r="B31" s="4"/>
      <c r="C31" s="4"/>
      <c r="D31" s="4"/>
      <c r="E31" s="4"/>
      <c r="F31" s="4"/>
      <c r="G31" s="4"/>
      <c r="H31" s="4"/>
      <c r="I31" s="4"/>
      <c r="J31" s="4"/>
    </row>
    <row r="32" customFormat="false" ht="25.5" hidden="false" customHeight="true" outlineLevel="0" collapsed="false">
      <c r="A32" s="38" t="s">
        <v>50</v>
      </c>
      <c r="B32" s="38"/>
      <c r="C32" s="38"/>
      <c r="D32" s="38"/>
      <c r="E32" s="38"/>
      <c r="F32" s="38"/>
      <c r="G32" s="38"/>
      <c r="H32" s="38"/>
      <c r="I32" s="38"/>
      <c r="J32" s="38"/>
    </row>
    <row r="33" customFormat="false" ht="21.75" hidden="false" customHeight="true" outlineLevel="0" collapsed="false">
      <c r="A33" s="39" t="s">
        <v>51</v>
      </c>
      <c r="B33" s="39"/>
      <c r="C33" s="39"/>
      <c r="D33" s="39"/>
      <c r="E33" s="39"/>
      <c r="F33" s="39"/>
      <c r="G33" s="39"/>
      <c r="H33" s="39"/>
      <c r="I33" s="39"/>
      <c r="J33" s="39"/>
    </row>
    <row r="34" customFormat="false" ht="24" hidden="false" customHeight="true" outlineLevel="0" collapsed="false">
      <c r="A34" s="40" t="s">
        <v>52</v>
      </c>
      <c r="B34" s="40"/>
      <c r="C34" s="40"/>
      <c r="D34" s="40"/>
      <c r="E34" s="40"/>
      <c r="F34" s="40"/>
      <c r="G34" s="40"/>
      <c r="H34" s="40"/>
      <c r="I34" s="40"/>
      <c r="J34" s="40"/>
    </row>
    <row r="35" customFormat="false" ht="30" hidden="false" customHeight="true" outlineLevel="0" collapsed="false">
      <c r="A35" s="41" t="s">
        <v>53</v>
      </c>
      <c r="B35" s="41"/>
      <c r="C35" s="41"/>
      <c r="D35" s="41"/>
      <c r="E35" s="41"/>
      <c r="F35" s="41"/>
      <c r="G35" s="41"/>
      <c r="H35" s="41"/>
      <c r="I35" s="41"/>
      <c r="J35" s="41"/>
    </row>
    <row r="36" customFormat="false" ht="3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customFormat="false" ht="27.75" hidden="false" customHeight="true" outlineLevel="0" collapsed="false">
      <c r="A37" s="42" t="s">
        <v>54</v>
      </c>
      <c r="B37" s="42"/>
      <c r="C37" s="42"/>
      <c r="D37" s="42"/>
      <c r="E37" s="42"/>
      <c r="F37" s="42"/>
      <c r="G37" s="42"/>
      <c r="H37" s="42"/>
      <c r="I37" s="42"/>
      <c r="J37" s="42"/>
    </row>
    <row r="38" customFormat="false" ht="21.75" hidden="false" customHeight="true" outlineLevel="0" collapsed="false">
      <c r="A38" s="43" t="s">
        <v>55</v>
      </c>
      <c r="B38" s="43"/>
      <c r="C38" s="43"/>
      <c r="D38" s="43"/>
      <c r="E38" s="43"/>
      <c r="F38" s="43"/>
      <c r="G38" s="43"/>
      <c r="H38" s="43"/>
      <c r="I38" s="43"/>
      <c r="J38" s="43"/>
    </row>
    <row r="39" customFormat="false" ht="19.5" hidden="false" customHeight="true" outlineLevel="0" collapsed="false">
      <c r="A39" s="44" t="s">
        <v>56</v>
      </c>
      <c r="B39" s="44"/>
      <c r="C39" s="44"/>
      <c r="D39" s="44"/>
      <c r="E39" s="44"/>
      <c r="F39" s="44"/>
      <c r="G39" s="44"/>
      <c r="H39" s="44"/>
      <c r="I39" s="44"/>
      <c r="J39" s="44"/>
    </row>
  </sheetData>
  <sheetProtection sheet="true"/>
  <mergeCells count="23">
    <mergeCell ref="A1:J1"/>
    <mergeCell ref="A2:J2"/>
    <mergeCell ref="A4:J4"/>
    <mergeCell ref="B5:J5"/>
    <mergeCell ref="B6:J6"/>
    <mergeCell ref="B7:J7"/>
    <mergeCell ref="B8:J8"/>
    <mergeCell ref="B9:J9"/>
    <mergeCell ref="B11:J11"/>
    <mergeCell ref="A20:J20"/>
    <mergeCell ref="B23:G23"/>
    <mergeCell ref="B24:G24"/>
    <mergeCell ref="B25:G25"/>
    <mergeCell ref="B26:G26"/>
    <mergeCell ref="A28:J28"/>
    <mergeCell ref="A31:J31"/>
    <mergeCell ref="A32:J32"/>
    <mergeCell ref="A33:J33"/>
    <mergeCell ref="A34:J34"/>
    <mergeCell ref="A35:J35"/>
    <mergeCell ref="A37:J37"/>
    <mergeCell ref="A38:J38"/>
    <mergeCell ref="A39:J39"/>
  </mergeCells>
  <conditionalFormatting sqref="J14:J18">
    <cfRule type="expression" priority="2" aboveAverage="0" equalAverage="0" bottom="0" percent="0" rank="0" text="" dxfId="0">
      <formula>$J14="OK"</formula>
    </cfRule>
    <cfRule type="expression" priority="3" aboveAverage="0" equalAverage="0" bottom="0" percent="0" rank="0" text="" dxfId="1">
      <formula>$J14="ATENÇÃO"</formula>
    </cfRule>
    <cfRule type="expression" priority="4" aboveAverage="0" equalAverage="0" bottom="0" percent="0" rank="0" text="" dxfId="2">
      <formula>$J14="CRÍTICO"</formula>
    </cfRule>
  </conditionalFormatting>
  <hyperlinks>
    <hyperlink ref="A34" r:id="rId1" display="leonardofroese.com.b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2026-10-06T23:52:08Z</dcterms:created>
  <dc:creator>openpyxl</dc:creator>
  <dc:description/>
  <dc:language>en-US</dc:language>
  <cp:lastModifiedBy/>
  <dcterms:modified xsi:type="dcterms:W3CDTF">2026-10-06T23:52:08Z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